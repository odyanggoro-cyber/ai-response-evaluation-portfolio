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Evaluation" sheetId="4" r:id="rId1"/>
    <sheet name="Result" sheetId="5" r:id="rId2"/>
  </sheets>
  <calcPr calcId="144525"/>
</workbook>
</file>

<file path=xl/calcChain.xml><?xml version="1.0" encoding="utf-8"?>
<calcChain xmlns="http://schemas.openxmlformats.org/spreadsheetml/2006/main">
  <c r="G5" i="5" l="1"/>
  <c r="G4" i="5"/>
  <c r="G3" i="5"/>
  <c r="F5" i="5"/>
  <c r="F4" i="5"/>
  <c r="F3" i="5"/>
  <c r="E5" i="5"/>
  <c r="E4" i="5"/>
  <c r="E3" i="5"/>
  <c r="D5" i="5"/>
  <c r="D4" i="5"/>
  <c r="D3" i="5"/>
  <c r="C5" i="5"/>
  <c r="C4" i="5"/>
  <c r="C3" i="5"/>
  <c r="B5" i="5"/>
  <c r="B4" i="5"/>
  <c r="B3" i="5"/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2" i="4"/>
</calcChain>
</file>

<file path=xl/sharedStrings.xml><?xml version="1.0" encoding="utf-8"?>
<sst xmlns="http://schemas.openxmlformats.org/spreadsheetml/2006/main" count="182" uniqueCount="100">
  <si>
    <t>The response provides a balanced overview of teamwork benefits using clear language and relevant examples. It fully addresses the question while remaining concise.</t>
  </si>
  <si>
    <t>Copilot</t>
  </si>
  <si>
    <t>The response explains how collaboration improves decision-making, creativity, and organizational success. It is well organized and supported by practical examples.</t>
  </si>
  <si>
    <t>Gemini</t>
  </si>
  <si>
    <t>The response highlights the key benefits of teamwork, including communication, problem-solving, productivity, and innovation. It is comprehensive, accurate, and clearly written.</t>
  </si>
  <si>
    <t>ChatGPT</t>
  </si>
  <si>
    <t>What are the benefits of teamwork/collaboration?</t>
  </si>
  <si>
    <t>General</t>
  </si>
  <si>
    <t>The response effectively describes how electricity supports modern life and economic development. It is relevant, accurate, and well structured.</t>
  </si>
  <si>
    <t>The response provides a comprehensive explanation supported by practical examples from everyday life. The language is natural and easy to follow.</t>
  </si>
  <si>
    <t>The response explains the importance of electricity across homes, healthcare, education, transportation, and industry. It is complete, accurate, and clearly organized.</t>
  </si>
  <si>
    <t>Why is electricity essential to modern society?</t>
  </si>
  <si>
    <t>The response presents the role of taxes in funding public services and supporting society in a logical and accessible way. It is accurate and well written.</t>
  </si>
  <si>
    <t>The response clearly connects taxation with public spending and economic stability. The explanation is comprehensive and supported by relevant examples.</t>
  </si>
  <si>
    <t>The response explains the purpose of taxes with practical examples of public services and government functions. It is balanced, complete, and easy to understand.</t>
  </si>
  <si>
    <t>What is the purpose of taxes?</t>
  </si>
  <si>
    <t>The response provides a clear overview of how the internet works. While accurate, it omits a few supporting details about networking concepts compared with the other responses.</t>
  </si>
  <si>
    <t>The response is technically accurate and comprehensive. However, some sections include more technical terminology, making the explanation slightly less accessible to general readers.</t>
  </si>
  <si>
    <t>The response explains the internet step by step using simple language while maintaining technical accuracy. It is easy to understand and covers all essential concepts.</t>
  </si>
  <si>
    <t>How does the internet actually work?</t>
  </si>
  <si>
    <t>Technology</t>
  </si>
  <si>
    <t>The response covers the key advantages of cloud computing in a logical and balanced manner. The language is clear, and the examples make the concepts easy to understand.</t>
  </si>
  <si>
    <t>The response provides detailed explanations supported by practical business examples. It is informative, easy to follow, and factually accurate.</t>
  </si>
  <si>
    <t>The response clearly explains the major business benefits of cloud computing, including scalability, cost savings, security, and collaboration. It is comprehensive, accurate, and well organized.</t>
  </si>
  <si>
    <t>What are the advantages of cloud computing for businesses?</t>
  </si>
  <si>
    <t>The response offers a balanced introduction to AI with relevant examples and clear language. It covers the key concepts effectively without unnecessary complexity.</t>
  </si>
  <si>
    <t>The response explains AI concepts in a logical progression, making complex ideas easy to understand. It is comprehensive, accurate, and engaging.</t>
  </si>
  <si>
    <t>The response provides a clear explanation of AI, including its definition, capabilities, and real-world applications. It is accurate, accessible, and well structured.</t>
  </si>
  <si>
    <t>What exactly is artificial intelligence (AI)?</t>
  </si>
  <si>
    <t>The response clearly explains why saving money is important for financial security and future planning. The language is natural, and the advice is practical.</t>
  </si>
  <si>
    <t>The response highlights both short-term and long-term advantages of saving money while providing practical financial guidance. It is complete and factually accurate.</t>
  </si>
  <si>
    <t>The response explains the financial and personal benefits of saving money with practical examples. It is comprehensive, well organized, and easy to understand.</t>
  </si>
  <si>
    <t>Why is it important to save money?</t>
  </si>
  <si>
    <t>Business and Management</t>
  </si>
  <si>
    <t>The response includes the essential inventory management techniques in a clear format. While accurate, it does not discuss forecasting and optimization in as much depth as the other responses.</t>
  </si>
  <si>
    <t>The response explains inventory management principles in a logical and detailed manner. It provides useful recommendations that are both practical and factually accurate.</t>
  </si>
  <si>
    <t>The response covers key inventory management practices, including stock monitoring, forecasting, and inventory control methods. It is comprehensive and practical.</t>
  </si>
  <si>
    <t>What are the best practices for inventory management?</t>
  </si>
  <si>
    <t>The response provides a well-balanced explanation of the importance of customer service. The information is accurate, relevant, and presented in a logical structure.</t>
  </si>
  <si>
    <t>The response presents both business and customer perspectives while maintaining excellent clarity. It is informative, engaging, and supported by practical examples.</t>
  </si>
  <si>
    <t>The response clearly explains how customer service affects customer satisfaction, loyalty, and business growth. It is complete, accurate, and written in natural English.</t>
  </si>
  <si>
    <t>Why is good customer service so important?</t>
  </si>
  <si>
    <t>The response answers the question clearly with relevant suggestions. However, it provides slightly less detail on long-term business strategies than the other responses.</t>
  </si>
  <si>
    <t>The response combines business strategy with clear explanations and practical examples. It is well structured, factually sound, and offers useful recommendations for improving sales.</t>
  </si>
  <si>
    <t>The response provides practical and actionable strategies covering pricing, customer service, inventory, promotions, and store layout. It is comprehensive, well organized, and easy to understand.</t>
  </si>
  <si>
    <t>How can I increase sales for a grocery store?</t>
  </si>
  <si>
    <t>The response covers the essential time-management strategies in a clear and structured manner. The advice is practical, accurate, and supported by well-known productivity techniques.</t>
  </si>
  <si>
    <t>The response explains proven productivity methods with useful context and practical advice. It is complete, well organized, and written in natural English.</t>
  </si>
  <si>
    <t>The response presents practical time-management techniques in a logical sequence with clear explanations. It is comprehensive, accurate, and easy to apply.</t>
  </si>
  <si>
    <t>How can I manage my time more effectively?</t>
  </si>
  <si>
    <t>Education and Self-Development</t>
  </si>
  <si>
    <t>The response clearly demonstrates how math applies to everyday life through practical examples. It is accurate, well structured, and easy to read.</t>
  </si>
  <si>
    <t>The response connects mathematical thinking with real-life applications while emphasizing logical reasoning. It is well organized, complete, and written in fluent English.</t>
  </si>
  <si>
    <t>The response explains the importance of mathematics through practical everyday examples. It is comprehensive, easy to understand, and factually accurate.</t>
  </si>
  <si>
    <t>Why is math so important in daily life?</t>
  </si>
  <si>
    <t>The response provides useful and practical learning strategies in a clear format. Although informative, it offers slightly fewer detailed techniques than the other responses.</t>
  </si>
  <si>
    <t>The response explains effective language-learning strategies with clear reasoning and useful examples. It is complete, accurate, and written in natural English.</t>
  </si>
  <si>
    <t>The response offers a practical learning plan with actionable daily activities. It is comprehensive, well structured, and tailored to the user's goals.</t>
  </si>
  <si>
    <t>How can I learn English faster?</t>
  </si>
  <si>
    <t>The response is relevant and clearly organized. However, one or two research-based claims are presented with stronger certainty than the available evidence fully supports, slightly reducing factual accuracy.</t>
  </si>
  <si>
    <t>The response combines scientific evidence with practical examples in a clear and engaging way. It is comprehensive, well written, and easy to follow.</t>
  </si>
  <si>
    <t>The response provides a complete overview of reading benefits with excellent organization and easy-to-understand language. The information is accurate and practical.</t>
  </si>
  <si>
    <t>What are the benefits of reading?</t>
  </si>
  <si>
    <t>The response is informative, practical, and well structured. It covers both health benefits and local considerations without sacrificing clarity or accuracy.</t>
  </si>
  <si>
    <t>The response explains the physiological reasons behind morning exercise while remaining easy to understand. The information is accurate, engaging, and comprehensive.</t>
  </si>
  <si>
    <t>The response fully answers the question with a balanced discussion of benefits and potential drawbacks. It is well organized, factually accurate, and written in clear, natural English.</t>
  </si>
  <si>
    <t>What are the benefits of working out in the morning?</t>
  </si>
  <si>
    <t xml:space="preserve">Health and Life Style </t>
  </si>
  <si>
    <t>The response includes the main stress management strategies and presents them clearly. While informative, it provides slightly less depth than the other responses.</t>
  </si>
  <si>
    <t>The response explains both immediate and long-term stress management techniques in a logical and engaging way. It is accurate, complete, and easy to follow.</t>
  </si>
  <si>
    <t>The response provides practical, evidence-based strategies with a clear structure and balanced recommendations. It is comprehensive and written in natural English.</t>
  </si>
  <si>
    <t>What are the best ways to manage stress?</t>
  </si>
  <si>
    <t>The response covers the essential functions of hydration and provides useful recommendations. Some explanations are less detailed than the other responses.</t>
  </si>
  <si>
    <t>The response combines scientific explanations with practical guidance in a clear and engaging way. It is complete, accurate, and easy to understand.</t>
  </si>
  <si>
    <t>The response thoroughly explains the importance of hydration using clear language and accurate health information. It also provides practical hydration advice.</t>
  </si>
  <si>
    <t>Why is staying hydrated so important for our body?</t>
  </si>
  <si>
    <t>The response provides accurate information and includes useful examples. However, the inclusion of lengthy reference material makes the answer slightly less concise and harder to follow.</t>
  </si>
  <si>
    <t>The response is detailed, logically organized, and explains the underlying mechanisms behind hypertension. The information is accurate and presented in fluent English.</t>
  </si>
  <si>
    <t>The response clearly explains both primary and secondary causes of hypertension with accurate medical information. It is well organized and easy to understand.</t>
  </si>
  <si>
    <t>What are the main causes of high blood pressure?</t>
  </si>
  <si>
    <t>The response is clear, practical, and complete. It presents actionable advice in a logical structure while maintaining accurate information and natural language.</t>
  </si>
  <si>
    <t>The response is highly informative and scientifically sound. Some sections include more technical explanations than necessary, which slightly reduces readability.</t>
  </si>
  <si>
    <t>The response provides practical, well-structured advice supported by established sleep recommendations. It is comprehensive, easy to follow, and written in fluent English.</t>
  </si>
  <si>
    <t>How can I build and maintain a healthy sleep schedule?</t>
  </si>
  <si>
    <t>The response is relevant and easy to understand. It includes the main health benefits, but some supporting details are less comprehensive than the other responses.</t>
  </si>
  <si>
    <t>The response is comprehensive and scientifically accurate. However, some explanations are more technical and slightly longer than necessary, making the response a bit less easy to read.</t>
  </si>
  <si>
    <t>The response directly answers the question with excellent organization and covers all major physical and mental health benefits. The information is accurate, balanced, and written in clear, natural English</t>
  </si>
  <si>
    <t>What are the health benefits of regular exercise?</t>
  </si>
  <si>
    <t>Grammar &amp; Language</t>
  </si>
  <si>
    <t>Factual Accuracy</t>
  </si>
  <si>
    <t>Completeness</t>
  </si>
  <si>
    <t>Clarity</t>
  </si>
  <si>
    <t>Relevance</t>
  </si>
  <si>
    <t>Justification</t>
  </si>
  <si>
    <t>AI</t>
  </si>
  <si>
    <t>Category</t>
  </si>
  <si>
    <t>No</t>
  </si>
  <si>
    <t>Prompt</t>
  </si>
  <si>
    <t>Average</t>
  </si>
  <si>
    <t>Result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</si>
</sst>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 tint="0.249977111117893"/>
      <name val="Calibri"/>
      <family val="2"/>
      <charset val="1"/>
      <scheme val="minor"/>
    </font>
    <font>
      <b/>
      <sz val="11"/>
      <color theme="1" tint="0.249977111117893"/>
      <name val="Segoe UI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3" xfId="0" applyFont="1" applyBorder="1"/>
    <xf numFmtId="0" fontId="1" fillId="0" borderId="5" xfId="0" applyFont="1" applyBorder="1" applyAlignment="1">
      <alignment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2" fillId="0" borderId="10" xfId="0" applyFont="1" applyBorder="1"/>
    <xf numFmtId="0" fontId="1" fillId="0" borderId="0" xfId="0" applyFont="1" applyBorder="1" applyAlignment="1">
      <alignment vertical="center"/>
    </xf>
    <xf numFmtId="0" fontId="1" fillId="0" borderId="13" xfId="0" applyFont="1" applyBorder="1"/>
    <xf numFmtId="0" fontId="1" fillId="0" borderId="14" xfId="0" applyFont="1" applyBorder="1"/>
    <xf numFmtId="0" fontId="2" fillId="0" borderId="14" xfId="0" applyFont="1" applyBorder="1"/>
    <xf numFmtId="0" fontId="1" fillId="0" borderId="16" xfId="0" applyFont="1" applyBorder="1" applyAlignment="1">
      <alignment vertical="center"/>
    </xf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2" fillId="0" borderId="24" xfId="0" applyFont="1" applyBorder="1"/>
    <xf numFmtId="0" fontId="1" fillId="0" borderId="24" xfId="0" applyFont="1" applyBorder="1"/>
    <xf numFmtId="0" fontId="2" fillId="0" borderId="20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26" xfId="0" applyFont="1" applyBorder="1" applyAlignment="1">
      <alignment horizontal="left" vertical="center"/>
    </xf>
    <xf numFmtId="0" fontId="2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1" fillId="0" borderId="25" xfId="0" applyFont="1" applyBorder="1"/>
    <xf numFmtId="0" fontId="1" fillId="0" borderId="1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/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Result!$A$3</c:f>
              <c:strCache>
                <c:ptCount val="1"/>
                <c:pt idx="0">
                  <c:v>ChatGPT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itchFamily="34" charset="0"/>
                    <a:cs typeface="Segoe UI" pitchFamily="34" charset="0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Result!$B$2:$G$2</c:f>
              <c:strCache>
                <c:ptCount val="6"/>
                <c:pt idx="0">
                  <c:v>Relevance</c:v>
                </c:pt>
                <c:pt idx="1">
                  <c:v>Clarity</c:v>
                </c:pt>
                <c:pt idx="2">
                  <c:v>Completeness</c:v>
                </c:pt>
                <c:pt idx="3">
                  <c:v>Factual Accuracy</c:v>
                </c:pt>
                <c:pt idx="4">
                  <c:v>Grammar &amp; Language</c:v>
                </c:pt>
                <c:pt idx="5">
                  <c:v>Result Average</c:v>
                </c:pt>
              </c:strCache>
            </c:strRef>
          </c:cat>
          <c:val>
            <c:numRef>
              <c:f>Result!$B$3:$G$3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</c:ser>
        <c:ser>
          <c:idx val="1"/>
          <c:order val="1"/>
          <c:tx>
            <c:strRef>
              <c:f>Result!$A$4</c:f>
              <c:strCache>
                <c:ptCount val="1"/>
                <c:pt idx="0">
                  <c:v>Gemini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itchFamily="34" charset="0"/>
                    <a:cs typeface="Segoe UI" pitchFamily="34" charset="0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Result!$B$2:$G$2</c:f>
              <c:strCache>
                <c:ptCount val="6"/>
                <c:pt idx="0">
                  <c:v>Relevance</c:v>
                </c:pt>
                <c:pt idx="1">
                  <c:v>Clarity</c:v>
                </c:pt>
                <c:pt idx="2">
                  <c:v>Completeness</c:v>
                </c:pt>
                <c:pt idx="3">
                  <c:v>Factual Accuracy</c:v>
                </c:pt>
                <c:pt idx="4">
                  <c:v>Grammar &amp; Language</c:v>
                </c:pt>
                <c:pt idx="5">
                  <c:v>Result Average</c:v>
                </c:pt>
              </c:strCache>
            </c:strRef>
          </c:cat>
          <c:val>
            <c:numRef>
              <c:f>Result!$B$4:$G$4</c:f>
              <c:numCache>
                <c:formatCode>General</c:formatCode>
                <c:ptCount val="6"/>
                <c:pt idx="0">
                  <c:v>5</c:v>
                </c:pt>
                <c:pt idx="1">
                  <c:v>4.8499999999999996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4.97</c:v>
                </c:pt>
              </c:numCache>
            </c:numRef>
          </c:val>
        </c:ser>
        <c:ser>
          <c:idx val="2"/>
          <c:order val="2"/>
          <c:tx>
            <c:strRef>
              <c:f>Result!$A$5</c:f>
              <c:strCache>
                <c:ptCount val="1"/>
                <c:pt idx="0">
                  <c:v>Copilot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itchFamily="34" charset="0"/>
                    <a:cs typeface="Segoe UI" pitchFamily="34" charset="0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Result!$B$2:$G$2</c:f>
              <c:strCache>
                <c:ptCount val="6"/>
                <c:pt idx="0">
                  <c:v>Relevance</c:v>
                </c:pt>
                <c:pt idx="1">
                  <c:v>Clarity</c:v>
                </c:pt>
                <c:pt idx="2">
                  <c:v>Completeness</c:v>
                </c:pt>
                <c:pt idx="3">
                  <c:v>Factual Accuracy</c:v>
                </c:pt>
                <c:pt idx="4">
                  <c:v>Grammar &amp; Language</c:v>
                </c:pt>
                <c:pt idx="5">
                  <c:v>Result Average</c:v>
                </c:pt>
              </c:strCache>
            </c:strRef>
          </c:cat>
          <c:val>
            <c:numRef>
              <c:f>Result!$B$5:$G$5</c:f>
              <c:numCache>
                <c:formatCode>General</c:formatCode>
                <c:ptCount val="6"/>
                <c:pt idx="0">
                  <c:v>5</c:v>
                </c:pt>
                <c:pt idx="1">
                  <c:v>4.95</c:v>
                </c:pt>
                <c:pt idx="2">
                  <c:v>4.6500000000000004</c:v>
                </c:pt>
                <c:pt idx="3">
                  <c:v>4.95</c:v>
                </c:pt>
                <c:pt idx="4">
                  <c:v>5</c:v>
                </c:pt>
                <c:pt idx="5">
                  <c:v>4.9099999999999993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75999872"/>
        <c:axId val="76013952"/>
      </c:barChart>
      <c:catAx>
        <c:axId val="75999872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/>
          <a:lstStyle/>
          <a:p>
            <a:pPr>
              <a:defRPr sz="1000" b="1">
                <a:solidFill>
                  <a:schemeClr val="tx1">
                    <a:lumMod val="75000"/>
                    <a:lumOff val="25000"/>
                  </a:schemeClr>
                </a:solidFill>
                <a:latin typeface="Segoe UI" pitchFamily="34" charset="0"/>
                <a:cs typeface="Segoe UI" pitchFamily="34" charset="0"/>
              </a:defRPr>
            </a:pPr>
            <a:endParaRPr lang="id-ID"/>
          </a:p>
        </c:txPr>
        <c:crossAx val="76013952"/>
        <c:crosses val="autoZero"/>
        <c:auto val="1"/>
        <c:lblAlgn val="ctr"/>
        <c:lblOffset val="100"/>
        <c:noMultiLvlLbl val="0"/>
      </c:catAx>
      <c:valAx>
        <c:axId val="7601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75999872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b="1">
              <a:solidFill>
                <a:schemeClr val="tx1">
                  <a:lumMod val="75000"/>
                  <a:lumOff val="25000"/>
                </a:schemeClr>
              </a:solidFill>
              <a:latin typeface="Segoe UI" pitchFamily="34" charset="0"/>
              <a:cs typeface="Segoe UI" pitchFamily="34" charset="0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6</xdr:row>
      <xdr:rowOff>9525</xdr:rowOff>
    </xdr:from>
    <xdr:to>
      <xdr:col>7</xdr:col>
      <xdr:colOff>0</xdr:colOff>
      <xdr:row>25</xdr:row>
      <xdr:rowOff>19051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H18" sqref="H18"/>
    </sheetView>
  </sheetViews>
  <sheetFormatPr defaultRowHeight="15" x14ac:dyDescent="0.25"/>
  <cols>
    <col min="1" max="1" width="4.28515625" bestFit="1" customWidth="1"/>
    <col min="2" max="2" width="33.140625" hidden="1" customWidth="1"/>
    <col min="3" max="3" width="25.7109375" customWidth="1"/>
    <col min="4" max="4" width="10" bestFit="1" customWidth="1"/>
    <col min="5" max="9" width="15.7109375" customWidth="1"/>
    <col min="10" max="10" width="9.5703125" bestFit="1" customWidth="1"/>
    <col min="11" max="11" width="201.140625" bestFit="1" customWidth="1"/>
  </cols>
  <sheetData>
    <row r="1" spans="1:11" ht="33.75" thickBot="1" x14ac:dyDescent="0.35">
      <c r="A1" s="27" t="s">
        <v>96</v>
      </c>
      <c r="B1" s="28" t="s">
        <v>95</v>
      </c>
      <c r="C1" s="29" t="s">
        <v>97</v>
      </c>
      <c r="D1" s="30" t="s">
        <v>94</v>
      </c>
      <c r="E1" s="25" t="s">
        <v>92</v>
      </c>
      <c r="F1" s="25" t="s">
        <v>91</v>
      </c>
      <c r="G1" s="25" t="s">
        <v>90</v>
      </c>
      <c r="H1" s="25" t="s">
        <v>89</v>
      </c>
      <c r="I1" s="24" t="s">
        <v>88</v>
      </c>
      <c r="J1" s="31" t="s">
        <v>98</v>
      </c>
      <c r="K1" s="26" t="s">
        <v>93</v>
      </c>
    </row>
    <row r="2" spans="1:11" ht="16.5" customHeight="1" x14ac:dyDescent="0.3">
      <c r="A2" s="33">
        <v>1</v>
      </c>
      <c r="B2" s="15" t="s">
        <v>67</v>
      </c>
      <c r="C2" s="36" t="s">
        <v>87</v>
      </c>
      <c r="D2" s="22" t="s">
        <v>5</v>
      </c>
      <c r="E2" s="23">
        <v>5</v>
      </c>
      <c r="F2" s="23">
        <v>5</v>
      </c>
      <c r="G2" s="23">
        <v>5</v>
      </c>
      <c r="H2" s="23">
        <v>5</v>
      </c>
      <c r="I2" s="17">
        <v>5</v>
      </c>
      <c r="J2" s="23">
        <f>AVERAGE(E2:I2)</f>
        <v>5</v>
      </c>
      <c r="K2" s="16" t="s">
        <v>86</v>
      </c>
    </row>
    <row r="3" spans="1:11" ht="16.5" x14ac:dyDescent="0.3">
      <c r="A3" s="34"/>
      <c r="B3" s="11"/>
      <c r="C3" s="37"/>
      <c r="D3" s="10" t="s">
        <v>3</v>
      </c>
      <c r="E3" s="9">
        <v>5</v>
      </c>
      <c r="F3" s="9">
        <v>4</v>
      </c>
      <c r="G3" s="9">
        <v>5</v>
      </c>
      <c r="H3" s="9">
        <v>5</v>
      </c>
      <c r="I3" s="8">
        <v>5</v>
      </c>
      <c r="J3" s="9">
        <f t="shared" ref="J3:J61" si="0">AVERAGE(E3:I3)</f>
        <v>4.8</v>
      </c>
      <c r="K3" s="6" t="s">
        <v>85</v>
      </c>
    </row>
    <row r="4" spans="1:11" ht="17.25" thickBot="1" x14ac:dyDescent="0.35">
      <c r="A4" s="35"/>
      <c r="B4" s="5"/>
      <c r="C4" s="38"/>
      <c r="D4" s="4" t="s">
        <v>1</v>
      </c>
      <c r="E4" s="3">
        <v>5</v>
      </c>
      <c r="F4" s="3">
        <v>5</v>
      </c>
      <c r="G4" s="3">
        <v>4</v>
      </c>
      <c r="H4" s="3">
        <v>5</v>
      </c>
      <c r="I4" s="2">
        <v>5</v>
      </c>
      <c r="J4" s="7">
        <f t="shared" si="0"/>
        <v>4.8</v>
      </c>
      <c r="K4" s="18" t="s">
        <v>84</v>
      </c>
    </row>
    <row r="5" spans="1:11" ht="16.5" customHeight="1" x14ac:dyDescent="0.3">
      <c r="A5" s="33">
        <v>2</v>
      </c>
      <c r="B5" s="15" t="s">
        <v>67</v>
      </c>
      <c r="C5" s="36" t="s">
        <v>83</v>
      </c>
      <c r="D5" s="22" t="s">
        <v>5</v>
      </c>
      <c r="E5" s="23">
        <v>5</v>
      </c>
      <c r="F5" s="23">
        <v>5</v>
      </c>
      <c r="G5" s="23">
        <v>5</v>
      </c>
      <c r="H5" s="23">
        <v>5</v>
      </c>
      <c r="I5" s="17">
        <v>5</v>
      </c>
      <c r="J5" s="20">
        <f t="shared" si="0"/>
        <v>5</v>
      </c>
      <c r="K5" s="16" t="s">
        <v>82</v>
      </c>
    </row>
    <row r="6" spans="1:11" ht="16.5" x14ac:dyDescent="0.3">
      <c r="A6" s="34"/>
      <c r="B6" s="11"/>
      <c r="C6" s="37"/>
      <c r="D6" s="10" t="s">
        <v>3</v>
      </c>
      <c r="E6" s="9">
        <v>5</v>
      </c>
      <c r="F6" s="9">
        <v>4</v>
      </c>
      <c r="G6" s="9">
        <v>5</v>
      </c>
      <c r="H6" s="9">
        <v>5</v>
      </c>
      <c r="I6" s="8">
        <v>5</v>
      </c>
      <c r="J6" s="32">
        <f t="shared" si="0"/>
        <v>4.8</v>
      </c>
      <c r="K6" s="6" t="s">
        <v>81</v>
      </c>
    </row>
    <row r="7" spans="1:11" ht="17.25" thickBot="1" x14ac:dyDescent="0.35">
      <c r="A7" s="35"/>
      <c r="B7" s="5"/>
      <c r="C7" s="38"/>
      <c r="D7" s="4" t="s">
        <v>1</v>
      </c>
      <c r="E7" s="3">
        <v>5</v>
      </c>
      <c r="F7" s="3">
        <v>5</v>
      </c>
      <c r="G7" s="3">
        <v>5</v>
      </c>
      <c r="H7" s="3">
        <v>5</v>
      </c>
      <c r="I7" s="2">
        <v>5</v>
      </c>
      <c r="J7" s="3">
        <f t="shared" si="0"/>
        <v>5</v>
      </c>
      <c r="K7" s="1" t="s">
        <v>80</v>
      </c>
    </row>
    <row r="8" spans="1:11" ht="16.5" customHeight="1" x14ac:dyDescent="0.3">
      <c r="A8" s="33">
        <v>3</v>
      </c>
      <c r="B8" s="15" t="s">
        <v>67</v>
      </c>
      <c r="C8" s="36" t="s">
        <v>79</v>
      </c>
      <c r="D8" s="22" t="s">
        <v>5</v>
      </c>
      <c r="E8" s="23">
        <v>5</v>
      </c>
      <c r="F8" s="23">
        <v>5</v>
      </c>
      <c r="G8" s="23">
        <v>5</v>
      </c>
      <c r="H8" s="23">
        <v>5</v>
      </c>
      <c r="I8" s="17">
        <v>5</v>
      </c>
      <c r="J8" s="23">
        <f t="shared" si="0"/>
        <v>5</v>
      </c>
      <c r="K8" s="12" t="s">
        <v>78</v>
      </c>
    </row>
    <row r="9" spans="1:11" ht="16.5" x14ac:dyDescent="0.3">
      <c r="A9" s="34"/>
      <c r="B9" s="11"/>
      <c r="C9" s="37"/>
      <c r="D9" s="10" t="s">
        <v>3</v>
      </c>
      <c r="E9" s="9">
        <v>5</v>
      </c>
      <c r="F9" s="9">
        <v>5</v>
      </c>
      <c r="G9" s="9">
        <v>5</v>
      </c>
      <c r="H9" s="9">
        <v>5</v>
      </c>
      <c r="I9" s="8">
        <v>5</v>
      </c>
      <c r="J9" s="9">
        <f t="shared" si="0"/>
        <v>5</v>
      </c>
      <c r="K9" s="6" t="s">
        <v>77</v>
      </c>
    </row>
    <row r="10" spans="1:11" ht="17.25" thickBot="1" x14ac:dyDescent="0.35">
      <c r="A10" s="35"/>
      <c r="B10" s="5"/>
      <c r="C10" s="38"/>
      <c r="D10" s="4" t="s">
        <v>1</v>
      </c>
      <c r="E10" s="3">
        <v>5</v>
      </c>
      <c r="F10" s="3">
        <v>4</v>
      </c>
      <c r="G10" s="3">
        <v>5</v>
      </c>
      <c r="H10" s="3">
        <v>5</v>
      </c>
      <c r="I10" s="2">
        <v>5</v>
      </c>
      <c r="J10" s="7">
        <f t="shared" si="0"/>
        <v>4.8</v>
      </c>
      <c r="K10" s="1" t="s">
        <v>76</v>
      </c>
    </row>
    <row r="11" spans="1:11" ht="16.5" customHeight="1" x14ac:dyDescent="0.3">
      <c r="A11" s="33">
        <v>4</v>
      </c>
      <c r="B11" s="15" t="s">
        <v>67</v>
      </c>
      <c r="C11" s="36" t="s">
        <v>75</v>
      </c>
      <c r="D11" s="22" t="s">
        <v>5</v>
      </c>
      <c r="E11" s="23">
        <v>5</v>
      </c>
      <c r="F11" s="23">
        <v>5</v>
      </c>
      <c r="G11" s="23">
        <v>5</v>
      </c>
      <c r="H11" s="23">
        <v>5</v>
      </c>
      <c r="I11" s="23">
        <v>5</v>
      </c>
      <c r="J11" s="23">
        <f t="shared" si="0"/>
        <v>5</v>
      </c>
      <c r="K11" s="12" t="s">
        <v>74</v>
      </c>
    </row>
    <row r="12" spans="1:11" ht="16.5" x14ac:dyDescent="0.3">
      <c r="A12" s="34"/>
      <c r="B12" s="11"/>
      <c r="C12" s="37"/>
      <c r="D12" s="10" t="s">
        <v>3</v>
      </c>
      <c r="E12" s="9">
        <v>5</v>
      </c>
      <c r="F12" s="9">
        <v>5</v>
      </c>
      <c r="G12" s="9">
        <v>5</v>
      </c>
      <c r="H12" s="9">
        <v>5</v>
      </c>
      <c r="I12" s="9">
        <v>5</v>
      </c>
      <c r="J12" s="9">
        <f t="shared" si="0"/>
        <v>5</v>
      </c>
      <c r="K12" s="6" t="s">
        <v>73</v>
      </c>
    </row>
    <row r="13" spans="1:11" ht="17.25" thickBot="1" x14ac:dyDescent="0.35">
      <c r="A13" s="35"/>
      <c r="B13" s="5"/>
      <c r="C13" s="38"/>
      <c r="D13" s="4" t="s">
        <v>1</v>
      </c>
      <c r="E13" s="13">
        <v>5</v>
      </c>
      <c r="F13" s="13">
        <v>5</v>
      </c>
      <c r="G13" s="13">
        <v>4</v>
      </c>
      <c r="H13" s="13">
        <v>5</v>
      </c>
      <c r="I13" s="7">
        <v>5</v>
      </c>
      <c r="J13" s="7">
        <f t="shared" si="0"/>
        <v>4.8</v>
      </c>
      <c r="K13" s="1" t="s">
        <v>72</v>
      </c>
    </row>
    <row r="14" spans="1:11" ht="16.5" customHeight="1" x14ac:dyDescent="0.3">
      <c r="A14" s="33">
        <v>5</v>
      </c>
      <c r="B14" s="15" t="s">
        <v>67</v>
      </c>
      <c r="C14" s="36" t="s">
        <v>71</v>
      </c>
      <c r="D14" s="22" t="s">
        <v>5</v>
      </c>
      <c r="E14" s="21">
        <v>5</v>
      </c>
      <c r="F14" s="21">
        <v>5</v>
      </c>
      <c r="G14" s="21">
        <v>5</v>
      </c>
      <c r="H14" s="21">
        <v>5</v>
      </c>
      <c r="I14" s="20">
        <v>5</v>
      </c>
      <c r="J14" s="23">
        <f t="shared" si="0"/>
        <v>5</v>
      </c>
      <c r="K14" s="12" t="s">
        <v>70</v>
      </c>
    </row>
    <row r="15" spans="1:11" ht="16.5" x14ac:dyDescent="0.3">
      <c r="A15" s="34"/>
      <c r="B15" s="11"/>
      <c r="C15" s="37"/>
      <c r="D15" s="10" t="s">
        <v>3</v>
      </c>
      <c r="E15" s="9">
        <v>5</v>
      </c>
      <c r="F15" s="9">
        <v>5</v>
      </c>
      <c r="G15" s="9">
        <v>5</v>
      </c>
      <c r="H15" s="9">
        <v>5</v>
      </c>
      <c r="I15" s="9">
        <v>5</v>
      </c>
      <c r="J15" s="19">
        <f t="shared" si="0"/>
        <v>5</v>
      </c>
      <c r="K15" s="6" t="s">
        <v>69</v>
      </c>
    </row>
    <row r="16" spans="1:11" ht="17.25" thickBot="1" x14ac:dyDescent="0.35">
      <c r="A16" s="35"/>
      <c r="B16" s="5"/>
      <c r="C16" s="38"/>
      <c r="D16" s="4" t="s">
        <v>1</v>
      </c>
      <c r="E16" s="3">
        <v>5</v>
      </c>
      <c r="F16" s="3">
        <v>5</v>
      </c>
      <c r="G16" s="3">
        <v>4</v>
      </c>
      <c r="H16" s="3">
        <v>5</v>
      </c>
      <c r="I16" s="3">
        <v>5</v>
      </c>
      <c r="J16" s="3">
        <f t="shared" si="0"/>
        <v>4.8</v>
      </c>
      <c r="K16" s="1" t="s">
        <v>68</v>
      </c>
    </row>
    <row r="17" spans="1:11" ht="16.5" customHeight="1" x14ac:dyDescent="0.3">
      <c r="A17" s="33">
        <v>6</v>
      </c>
      <c r="B17" s="15" t="s">
        <v>67</v>
      </c>
      <c r="C17" s="36" t="s">
        <v>66</v>
      </c>
      <c r="D17" s="14" t="s">
        <v>5</v>
      </c>
      <c r="E17" s="13">
        <v>5</v>
      </c>
      <c r="F17" s="13">
        <v>5</v>
      </c>
      <c r="G17" s="13">
        <v>5</v>
      </c>
      <c r="H17" s="13">
        <v>5</v>
      </c>
      <c r="I17" s="7">
        <v>5</v>
      </c>
      <c r="J17" s="20">
        <f t="shared" si="0"/>
        <v>5</v>
      </c>
      <c r="K17" s="12" t="s">
        <v>65</v>
      </c>
    </row>
    <row r="18" spans="1:11" ht="16.5" x14ac:dyDescent="0.3">
      <c r="A18" s="34"/>
      <c r="B18" s="11"/>
      <c r="C18" s="37"/>
      <c r="D18" s="10" t="s">
        <v>3</v>
      </c>
      <c r="E18" s="9">
        <v>5</v>
      </c>
      <c r="F18" s="9">
        <v>5</v>
      </c>
      <c r="G18" s="9">
        <v>5</v>
      </c>
      <c r="H18" s="9">
        <v>5</v>
      </c>
      <c r="I18" s="8">
        <v>5</v>
      </c>
      <c r="J18" s="32">
        <f t="shared" si="0"/>
        <v>5</v>
      </c>
      <c r="K18" s="6" t="s">
        <v>64</v>
      </c>
    </row>
    <row r="19" spans="1:11" ht="17.25" thickBot="1" x14ac:dyDescent="0.35">
      <c r="A19" s="35"/>
      <c r="B19" s="5"/>
      <c r="C19" s="38"/>
      <c r="D19" s="4" t="s">
        <v>1</v>
      </c>
      <c r="E19" s="3">
        <v>5</v>
      </c>
      <c r="F19" s="3">
        <v>5</v>
      </c>
      <c r="G19" s="3">
        <v>5</v>
      </c>
      <c r="H19" s="3">
        <v>5</v>
      </c>
      <c r="I19" s="2">
        <v>5</v>
      </c>
      <c r="J19" s="3">
        <f t="shared" si="0"/>
        <v>5</v>
      </c>
      <c r="K19" s="18" t="s">
        <v>63</v>
      </c>
    </row>
    <row r="20" spans="1:11" ht="16.5" customHeight="1" x14ac:dyDescent="0.3">
      <c r="A20" s="33">
        <v>7</v>
      </c>
      <c r="B20" s="15" t="s">
        <v>50</v>
      </c>
      <c r="C20" s="36" t="s">
        <v>62</v>
      </c>
      <c r="D20" s="14" t="s">
        <v>5</v>
      </c>
      <c r="E20" s="13">
        <v>5</v>
      </c>
      <c r="F20" s="13">
        <v>5</v>
      </c>
      <c r="G20" s="13">
        <v>5</v>
      </c>
      <c r="H20" s="13">
        <v>5</v>
      </c>
      <c r="I20" s="7">
        <v>5</v>
      </c>
      <c r="J20" s="23">
        <f t="shared" si="0"/>
        <v>5</v>
      </c>
      <c r="K20" s="16" t="s">
        <v>61</v>
      </c>
    </row>
    <row r="21" spans="1:11" ht="16.5" x14ac:dyDescent="0.3">
      <c r="A21" s="34"/>
      <c r="B21" s="11"/>
      <c r="C21" s="37"/>
      <c r="D21" s="10" t="s">
        <v>3</v>
      </c>
      <c r="E21" s="9">
        <v>5</v>
      </c>
      <c r="F21" s="9">
        <v>5</v>
      </c>
      <c r="G21" s="9">
        <v>5</v>
      </c>
      <c r="H21" s="9">
        <v>5</v>
      </c>
      <c r="I21" s="8">
        <v>5</v>
      </c>
      <c r="J21" s="9">
        <f t="shared" si="0"/>
        <v>5</v>
      </c>
      <c r="K21" s="6" t="s">
        <v>60</v>
      </c>
    </row>
    <row r="22" spans="1:11" ht="17.25" thickBot="1" x14ac:dyDescent="0.35">
      <c r="A22" s="35"/>
      <c r="B22" s="5"/>
      <c r="C22" s="38"/>
      <c r="D22" s="4" t="s">
        <v>1</v>
      </c>
      <c r="E22" s="3">
        <v>5</v>
      </c>
      <c r="F22" s="3">
        <v>5</v>
      </c>
      <c r="G22" s="3">
        <v>5</v>
      </c>
      <c r="H22" s="3">
        <v>4</v>
      </c>
      <c r="I22" s="2">
        <v>5</v>
      </c>
      <c r="J22" s="7">
        <f t="shared" si="0"/>
        <v>4.8</v>
      </c>
      <c r="K22" s="1" t="s">
        <v>59</v>
      </c>
    </row>
    <row r="23" spans="1:11" ht="16.5" customHeight="1" x14ac:dyDescent="0.3">
      <c r="A23" s="33">
        <v>8</v>
      </c>
      <c r="B23" s="15" t="s">
        <v>50</v>
      </c>
      <c r="C23" s="36" t="s">
        <v>58</v>
      </c>
      <c r="D23" s="14" t="s">
        <v>5</v>
      </c>
      <c r="E23" s="13">
        <v>5</v>
      </c>
      <c r="F23" s="13">
        <v>5</v>
      </c>
      <c r="G23" s="13">
        <v>5</v>
      </c>
      <c r="H23" s="13">
        <v>5</v>
      </c>
      <c r="I23" s="7">
        <v>5</v>
      </c>
      <c r="J23" s="20">
        <f t="shared" si="0"/>
        <v>5</v>
      </c>
      <c r="K23" s="12" t="s">
        <v>57</v>
      </c>
    </row>
    <row r="24" spans="1:11" ht="16.5" x14ac:dyDescent="0.3">
      <c r="A24" s="34"/>
      <c r="B24" s="11"/>
      <c r="C24" s="37"/>
      <c r="D24" s="10" t="s">
        <v>3</v>
      </c>
      <c r="E24" s="9">
        <v>5</v>
      </c>
      <c r="F24" s="9">
        <v>5</v>
      </c>
      <c r="G24" s="9">
        <v>5</v>
      </c>
      <c r="H24" s="9">
        <v>5</v>
      </c>
      <c r="I24" s="8">
        <v>5</v>
      </c>
      <c r="J24" s="9">
        <f t="shared" si="0"/>
        <v>5</v>
      </c>
      <c r="K24" s="6" t="s">
        <v>56</v>
      </c>
    </row>
    <row r="25" spans="1:11" ht="17.25" thickBot="1" x14ac:dyDescent="0.35">
      <c r="A25" s="35"/>
      <c r="B25" s="5"/>
      <c r="C25" s="38"/>
      <c r="D25" s="4" t="s">
        <v>1</v>
      </c>
      <c r="E25" s="3">
        <v>5</v>
      </c>
      <c r="F25" s="3">
        <v>5</v>
      </c>
      <c r="G25" s="3">
        <v>4</v>
      </c>
      <c r="H25" s="3">
        <v>5</v>
      </c>
      <c r="I25" s="2">
        <v>5</v>
      </c>
      <c r="J25" s="7">
        <f t="shared" si="0"/>
        <v>4.8</v>
      </c>
      <c r="K25" s="18" t="s">
        <v>55</v>
      </c>
    </row>
    <row r="26" spans="1:11" ht="16.5" customHeight="1" x14ac:dyDescent="0.3">
      <c r="A26" s="33">
        <v>9</v>
      </c>
      <c r="B26" s="15" t="s">
        <v>50</v>
      </c>
      <c r="C26" s="36" t="s">
        <v>54</v>
      </c>
      <c r="D26" s="14" t="s">
        <v>5</v>
      </c>
      <c r="E26" s="13">
        <v>5</v>
      </c>
      <c r="F26" s="13">
        <v>5</v>
      </c>
      <c r="G26" s="13">
        <v>5</v>
      </c>
      <c r="H26" s="13">
        <v>5</v>
      </c>
      <c r="I26" s="7">
        <v>5</v>
      </c>
      <c r="J26" s="23">
        <f t="shared" si="0"/>
        <v>5</v>
      </c>
      <c r="K26" s="16" t="s">
        <v>53</v>
      </c>
    </row>
    <row r="27" spans="1:11" ht="16.5" x14ac:dyDescent="0.3">
      <c r="A27" s="34"/>
      <c r="B27" s="11"/>
      <c r="C27" s="37"/>
      <c r="D27" s="10" t="s">
        <v>3</v>
      </c>
      <c r="E27" s="9">
        <v>5</v>
      </c>
      <c r="F27" s="9">
        <v>5</v>
      </c>
      <c r="G27" s="9">
        <v>5</v>
      </c>
      <c r="H27" s="9">
        <v>5</v>
      </c>
      <c r="I27" s="8">
        <v>5</v>
      </c>
      <c r="J27" s="9">
        <f t="shared" si="0"/>
        <v>5</v>
      </c>
      <c r="K27" s="6" t="s">
        <v>52</v>
      </c>
    </row>
    <row r="28" spans="1:11" ht="17.25" thickBot="1" x14ac:dyDescent="0.35">
      <c r="A28" s="35"/>
      <c r="B28" s="5"/>
      <c r="C28" s="38"/>
      <c r="D28" s="4" t="s">
        <v>1</v>
      </c>
      <c r="E28" s="3">
        <v>5</v>
      </c>
      <c r="F28" s="3">
        <v>5</v>
      </c>
      <c r="G28" s="3">
        <v>5</v>
      </c>
      <c r="H28" s="3">
        <v>5</v>
      </c>
      <c r="I28" s="2">
        <v>5</v>
      </c>
      <c r="J28" s="7">
        <f t="shared" si="0"/>
        <v>5</v>
      </c>
      <c r="K28" s="1" t="s">
        <v>51</v>
      </c>
    </row>
    <row r="29" spans="1:11" ht="16.5" customHeight="1" x14ac:dyDescent="0.3">
      <c r="A29" s="33">
        <v>10</v>
      </c>
      <c r="B29" s="15" t="s">
        <v>50</v>
      </c>
      <c r="C29" s="36" t="s">
        <v>49</v>
      </c>
      <c r="D29" s="14" t="s">
        <v>5</v>
      </c>
      <c r="E29" s="13">
        <v>5</v>
      </c>
      <c r="F29" s="13">
        <v>5</v>
      </c>
      <c r="G29" s="13">
        <v>5</v>
      </c>
      <c r="H29" s="13">
        <v>5</v>
      </c>
      <c r="I29" s="7">
        <v>5</v>
      </c>
      <c r="J29" s="23">
        <f t="shared" si="0"/>
        <v>5</v>
      </c>
      <c r="K29" s="12" t="s">
        <v>48</v>
      </c>
    </row>
    <row r="30" spans="1:11" ht="16.5" x14ac:dyDescent="0.3">
      <c r="A30" s="34"/>
      <c r="B30" s="11"/>
      <c r="C30" s="37"/>
      <c r="D30" s="10" t="s">
        <v>3</v>
      </c>
      <c r="E30" s="9">
        <v>5</v>
      </c>
      <c r="F30" s="9">
        <v>5</v>
      </c>
      <c r="G30" s="9">
        <v>5</v>
      </c>
      <c r="H30" s="9">
        <v>5</v>
      </c>
      <c r="I30" s="8">
        <v>5</v>
      </c>
      <c r="J30" s="9">
        <f t="shared" si="0"/>
        <v>5</v>
      </c>
      <c r="K30" s="6" t="s">
        <v>47</v>
      </c>
    </row>
    <row r="31" spans="1:11" ht="17.25" thickBot="1" x14ac:dyDescent="0.35">
      <c r="A31" s="35"/>
      <c r="B31" s="5"/>
      <c r="C31" s="38"/>
      <c r="D31" s="4" t="s">
        <v>1</v>
      </c>
      <c r="E31" s="3">
        <v>5</v>
      </c>
      <c r="F31" s="3">
        <v>5</v>
      </c>
      <c r="G31" s="3">
        <v>5</v>
      </c>
      <c r="H31" s="3">
        <v>5</v>
      </c>
      <c r="I31" s="2">
        <v>5</v>
      </c>
      <c r="J31" s="7">
        <f t="shared" si="0"/>
        <v>5</v>
      </c>
      <c r="K31" s="18" t="s">
        <v>46</v>
      </c>
    </row>
    <row r="32" spans="1:11" ht="16.5" customHeight="1" x14ac:dyDescent="0.3">
      <c r="A32" s="33">
        <v>11</v>
      </c>
      <c r="B32" s="15" t="s">
        <v>33</v>
      </c>
      <c r="C32" s="36" t="s">
        <v>45</v>
      </c>
      <c r="D32" s="14" t="s">
        <v>5</v>
      </c>
      <c r="E32" s="13">
        <v>5</v>
      </c>
      <c r="F32" s="13">
        <v>5</v>
      </c>
      <c r="G32" s="13">
        <v>5</v>
      </c>
      <c r="H32" s="13">
        <v>5</v>
      </c>
      <c r="I32" s="7">
        <v>5</v>
      </c>
      <c r="J32" s="20">
        <f t="shared" si="0"/>
        <v>5</v>
      </c>
      <c r="K32" s="16" t="s">
        <v>44</v>
      </c>
    </row>
    <row r="33" spans="1:11" ht="16.5" x14ac:dyDescent="0.3">
      <c r="A33" s="34"/>
      <c r="B33" s="11"/>
      <c r="C33" s="37"/>
      <c r="D33" s="10" t="s">
        <v>3</v>
      </c>
      <c r="E33" s="9">
        <v>5</v>
      </c>
      <c r="F33" s="9">
        <v>5</v>
      </c>
      <c r="G33" s="9">
        <v>5</v>
      </c>
      <c r="H33" s="9">
        <v>5</v>
      </c>
      <c r="I33" s="8">
        <v>5</v>
      </c>
      <c r="J33" s="32">
        <f t="shared" si="0"/>
        <v>5</v>
      </c>
      <c r="K33" s="6" t="s">
        <v>43</v>
      </c>
    </row>
    <row r="34" spans="1:11" ht="17.25" thickBot="1" x14ac:dyDescent="0.35">
      <c r="A34" s="35"/>
      <c r="B34" s="5"/>
      <c r="C34" s="38"/>
      <c r="D34" s="4" t="s">
        <v>1</v>
      </c>
      <c r="E34" s="3">
        <v>5</v>
      </c>
      <c r="F34" s="3">
        <v>5</v>
      </c>
      <c r="G34" s="3">
        <v>4</v>
      </c>
      <c r="H34" s="3">
        <v>5</v>
      </c>
      <c r="I34" s="2">
        <v>5</v>
      </c>
      <c r="J34" s="3">
        <f t="shared" si="0"/>
        <v>4.8</v>
      </c>
      <c r="K34" s="1" t="s">
        <v>42</v>
      </c>
    </row>
    <row r="35" spans="1:11" ht="16.5" customHeight="1" x14ac:dyDescent="0.3">
      <c r="A35" s="33">
        <v>12</v>
      </c>
      <c r="B35" s="15" t="s">
        <v>33</v>
      </c>
      <c r="C35" s="36" t="s">
        <v>41</v>
      </c>
      <c r="D35" s="14" t="s">
        <v>5</v>
      </c>
      <c r="E35" s="13">
        <v>5</v>
      </c>
      <c r="F35" s="13">
        <v>5</v>
      </c>
      <c r="G35" s="13">
        <v>5</v>
      </c>
      <c r="H35" s="13">
        <v>5</v>
      </c>
      <c r="I35" s="7">
        <v>5</v>
      </c>
      <c r="J35" s="23">
        <f t="shared" si="0"/>
        <v>5</v>
      </c>
      <c r="K35" s="12" t="s">
        <v>40</v>
      </c>
    </row>
    <row r="36" spans="1:11" ht="16.5" x14ac:dyDescent="0.3">
      <c r="A36" s="34"/>
      <c r="B36" s="11"/>
      <c r="C36" s="37"/>
      <c r="D36" s="10" t="s">
        <v>3</v>
      </c>
      <c r="E36" s="9">
        <v>5</v>
      </c>
      <c r="F36" s="9">
        <v>5</v>
      </c>
      <c r="G36" s="9">
        <v>5</v>
      </c>
      <c r="H36" s="9">
        <v>5</v>
      </c>
      <c r="I36" s="8">
        <v>5</v>
      </c>
      <c r="J36" s="9">
        <f t="shared" si="0"/>
        <v>5</v>
      </c>
      <c r="K36" s="6" t="s">
        <v>39</v>
      </c>
    </row>
    <row r="37" spans="1:11" ht="17.25" thickBot="1" x14ac:dyDescent="0.35">
      <c r="A37" s="35"/>
      <c r="B37" s="5"/>
      <c r="C37" s="38"/>
      <c r="D37" s="4" t="s">
        <v>1</v>
      </c>
      <c r="E37" s="3">
        <v>5</v>
      </c>
      <c r="F37" s="3">
        <v>5</v>
      </c>
      <c r="G37" s="3">
        <v>5</v>
      </c>
      <c r="H37" s="3">
        <v>5</v>
      </c>
      <c r="I37" s="2">
        <v>5</v>
      </c>
      <c r="J37" s="7">
        <f t="shared" si="0"/>
        <v>5</v>
      </c>
      <c r="K37" s="18" t="s">
        <v>38</v>
      </c>
    </row>
    <row r="38" spans="1:11" ht="16.5" customHeight="1" x14ac:dyDescent="0.3">
      <c r="A38" s="33">
        <v>13</v>
      </c>
      <c r="B38" s="15" t="s">
        <v>33</v>
      </c>
      <c r="C38" s="36" t="s">
        <v>37</v>
      </c>
      <c r="D38" s="14" t="s">
        <v>5</v>
      </c>
      <c r="E38" s="13">
        <v>5</v>
      </c>
      <c r="F38" s="13">
        <v>5</v>
      </c>
      <c r="G38" s="13">
        <v>5</v>
      </c>
      <c r="H38" s="13">
        <v>5</v>
      </c>
      <c r="I38" s="7">
        <v>5</v>
      </c>
      <c r="J38" s="20">
        <f t="shared" si="0"/>
        <v>5</v>
      </c>
      <c r="K38" s="16" t="s">
        <v>36</v>
      </c>
    </row>
    <row r="39" spans="1:11" ht="16.5" x14ac:dyDescent="0.3">
      <c r="A39" s="34"/>
      <c r="B39" s="11"/>
      <c r="C39" s="37"/>
      <c r="D39" s="10" t="s">
        <v>3</v>
      </c>
      <c r="E39" s="9">
        <v>5</v>
      </c>
      <c r="F39" s="9">
        <v>5</v>
      </c>
      <c r="G39" s="9">
        <v>5</v>
      </c>
      <c r="H39" s="9">
        <v>5</v>
      </c>
      <c r="I39" s="8">
        <v>5</v>
      </c>
      <c r="J39" s="32">
        <f t="shared" si="0"/>
        <v>5</v>
      </c>
      <c r="K39" s="6" t="s">
        <v>35</v>
      </c>
    </row>
    <row r="40" spans="1:11" ht="17.25" thickBot="1" x14ac:dyDescent="0.35">
      <c r="A40" s="35"/>
      <c r="B40" s="5"/>
      <c r="C40" s="38"/>
      <c r="D40" s="4" t="s">
        <v>1</v>
      </c>
      <c r="E40" s="3">
        <v>5</v>
      </c>
      <c r="F40" s="3">
        <v>5</v>
      </c>
      <c r="G40" s="3">
        <v>4</v>
      </c>
      <c r="H40" s="3">
        <v>5</v>
      </c>
      <c r="I40" s="2">
        <v>5</v>
      </c>
      <c r="J40" s="3">
        <f t="shared" si="0"/>
        <v>4.8</v>
      </c>
      <c r="K40" s="1" t="s">
        <v>34</v>
      </c>
    </row>
    <row r="41" spans="1:11" ht="16.5" customHeight="1" x14ac:dyDescent="0.3">
      <c r="A41" s="33">
        <v>14</v>
      </c>
      <c r="B41" s="15" t="s">
        <v>33</v>
      </c>
      <c r="C41" s="36" t="s">
        <v>32</v>
      </c>
      <c r="D41" s="14" t="s">
        <v>5</v>
      </c>
      <c r="E41" s="13">
        <v>5</v>
      </c>
      <c r="F41" s="13">
        <v>5</v>
      </c>
      <c r="G41" s="13">
        <v>5</v>
      </c>
      <c r="H41" s="13">
        <v>5</v>
      </c>
      <c r="I41" s="7">
        <v>5</v>
      </c>
      <c r="J41" s="20">
        <f t="shared" si="0"/>
        <v>5</v>
      </c>
      <c r="K41" s="12" t="s">
        <v>31</v>
      </c>
    </row>
    <row r="42" spans="1:11" ht="16.5" x14ac:dyDescent="0.3">
      <c r="A42" s="34"/>
      <c r="B42" s="11"/>
      <c r="C42" s="37"/>
      <c r="D42" s="10" t="s">
        <v>3</v>
      </c>
      <c r="E42" s="9">
        <v>5</v>
      </c>
      <c r="F42" s="9">
        <v>5</v>
      </c>
      <c r="G42" s="9">
        <v>5</v>
      </c>
      <c r="H42" s="9">
        <v>5</v>
      </c>
      <c r="I42" s="8">
        <v>5</v>
      </c>
      <c r="J42" s="32">
        <f t="shared" si="0"/>
        <v>5</v>
      </c>
      <c r="K42" s="6" t="s">
        <v>30</v>
      </c>
    </row>
    <row r="43" spans="1:11" ht="17.25" thickBot="1" x14ac:dyDescent="0.35">
      <c r="A43" s="35"/>
      <c r="B43" s="5"/>
      <c r="C43" s="38"/>
      <c r="D43" s="4" t="s">
        <v>1</v>
      </c>
      <c r="E43" s="3">
        <v>5</v>
      </c>
      <c r="F43" s="3">
        <v>5</v>
      </c>
      <c r="G43" s="3">
        <v>5</v>
      </c>
      <c r="H43" s="3">
        <v>5</v>
      </c>
      <c r="I43" s="2">
        <v>5</v>
      </c>
      <c r="J43" s="3">
        <f t="shared" si="0"/>
        <v>5</v>
      </c>
      <c r="K43" s="1" t="s">
        <v>29</v>
      </c>
    </row>
    <row r="44" spans="1:11" ht="16.5" customHeight="1" x14ac:dyDescent="0.3">
      <c r="A44" s="33">
        <v>15</v>
      </c>
      <c r="B44" s="15" t="s">
        <v>20</v>
      </c>
      <c r="C44" s="36" t="s">
        <v>28</v>
      </c>
      <c r="D44" s="14" t="s">
        <v>5</v>
      </c>
      <c r="E44" s="13">
        <v>5</v>
      </c>
      <c r="F44" s="13">
        <v>5</v>
      </c>
      <c r="G44" s="13">
        <v>5</v>
      </c>
      <c r="H44" s="13">
        <v>5</v>
      </c>
      <c r="I44" s="7">
        <v>5</v>
      </c>
      <c r="J44" s="20">
        <f t="shared" si="0"/>
        <v>5</v>
      </c>
      <c r="K44" s="12" t="s">
        <v>27</v>
      </c>
    </row>
    <row r="45" spans="1:11" ht="16.5" x14ac:dyDescent="0.3">
      <c r="A45" s="34"/>
      <c r="B45" s="11"/>
      <c r="C45" s="37"/>
      <c r="D45" s="10" t="s">
        <v>3</v>
      </c>
      <c r="E45" s="9">
        <v>5</v>
      </c>
      <c r="F45" s="9">
        <v>5</v>
      </c>
      <c r="G45" s="9">
        <v>5</v>
      </c>
      <c r="H45" s="9">
        <v>5</v>
      </c>
      <c r="I45" s="8">
        <v>5</v>
      </c>
      <c r="J45" s="9">
        <f t="shared" si="0"/>
        <v>5</v>
      </c>
      <c r="K45" s="6" t="s">
        <v>26</v>
      </c>
    </row>
    <row r="46" spans="1:11" ht="17.25" thickBot="1" x14ac:dyDescent="0.35">
      <c r="A46" s="35"/>
      <c r="B46" s="5"/>
      <c r="C46" s="38"/>
      <c r="D46" s="4" t="s">
        <v>1</v>
      </c>
      <c r="E46" s="3">
        <v>5</v>
      </c>
      <c r="F46" s="3">
        <v>5</v>
      </c>
      <c r="G46" s="3">
        <v>5</v>
      </c>
      <c r="H46" s="3">
        <v>5</v>
      </c>
      <c r="I46" s="2">
        <v>5</v>
      </c>
      <c r="J46" s="7">
        <f t="shared" si="0"/>
        <v>5</v>
      </c>
      <c r="K46" s="1" t="s">
        <v>25</v>
      </c>
    </row>
    <row r="47" spans="1:11" ht="16.5" customHeight="1" x14ac:dyDescent="0.3">
      <c r="A47" s="33">
        <v>16</v>
      </c>
      <c r="B47" s="15" t="s">
        <v>20</v>
      </c>
      <c r="C47" s="36" t="s">
        <v>24</v>
      </c>
      <c r="D47" s="14" t="s">
        <v>5</v>
      </c>
      <c r="E47" s="13">
        <v>5</v>
      </c>
      <c r="F47" s="13">
        <v>5</v>
      </c>
      <c r="G47" s="13">
        <v>5</v>
      </c>
      <c r="H47" s="13">
        <v>5</v>
      </c>
      <c r="I47" s="7">
        <v>5</v>
      </c>
      <c r="J47" s="20">
        <f t="shared" si="0"/>
        <v>5</v>
      </c>
      <c r="K47" s="12" t="s">
        <v>23</v>
      </c>
    </row>
    <row r="48" spans="1:11" ht="16.5" x14ac:dyDescent="0.3">
      <c r="A48" s="34"/>
      <c r="B48" s="11"/>
      <c r="C48" s="37"/>
      <c r="D48" s="10" t="s">
        <v>3</v>
      </c>
      <c r="E48" s="9">
        <v>5</v>
      </c>
      <c r="F48" s="9">
        <v>5</v>
      </c>
      <c r="G48" s="9">
        <v>5</v>
      </c>
      <c r="H48" s="9">
        <v>5</v>
      </c>
      <c r="I48" s="8">
        <v>5</v>
      </c>
      <c r="J48" s="32">
        <f t="shared" si="0"/>
        <v>5</v>
      </c>
      <c r="K48" s="6" t="s">
        <v>22</v>
      </c>
    </row>
    <row r="49" spans="1:11" ht="17.25" thickBot="1" x14ac:dyDescent="0.35">
      <c r="A49" s="35"/>
      <c r="B49" s="5"/>
      <c r="C49" s="38"/>
      <c r="D49" s="4" t="s">
        <v>1</v>
      </c>
      <c r="E49" s="3">
        <v>5</v>
      </c>
      <c r="F49" s="3">
        <v>5</v>
      </c>
      <c r="G49" s="3">
        <v>5</v>
      </c>
      <c r="H49" s="3">
        <v>5</v>
      </c>
      <c r="I49" s="2">
        <v>5</v>
      </c>
      <c r="J49" s="3">
        <f t="shared" si="0"/>
        <v>5</v>
      </c>
      <c r="K49" s="1" t="s">
        <v>21</v>
      </c>
    </row>
    <row r="50" spans="1:11" ht="16.5" customHeight="1" x14ac:dyDescent="0.3">
      <c r="A50" s="33">
        <v>17</v>
      </c>
      <c r="B50" s="15" t="s">
        <v>20</v>
      </c>
      <c r="C50" s="36" t="s">
        <v>19</v>
      </c>
      <c r="D50" s="14" t="s">
        <v>5</v>
      </c>
      <c r="E50" s="13">
        <v>5</v>
      </c>
      <c r="F50" s="13">
        <v>5</v>
      </c>
      <c r="G50" s="13">
        <v>5</v>
      </c>
      <c r="H50" s="13">
        <v>5</v>
      </c>
      <c r="I50" s="7">
        <v>5</v>
      </c>
      <c r="J50" s="23">
        <f t="shared" si="0"/>
        <v>5</v>
      </c>
      <c r="K50" s="12" t="s">
        <v>18</v>
      </c>
    </row>
    <row r="51" spans="1:11" ht="16.5" x14ac:dyDescent="0.3">
      <c r="A51" s="34"/>
      <c r="B51" s="11"/>
      <c r="C51" s="37"/>
      <c r="D51" s="10" t="s">
        <v>3</v>
      </c>
      <c r="E51" s="9">
        <v>5</v>
      </c>
      <c r="F51" s="9">
        <v>4</v>
      </c>
      <c r="G51" s="9">
        <v>5</v>
      </c>
      <c r="H51" s="9">
        <v>5</v>
      </c>
      <c r="I51" s="8">
        <v>5</v>
      </c>
      <c r="J51" s="9">
        <f t="shared" si="0"/>
        <v>4.8</v>
      </c>
      <c r="K51" s="6" t="s">
        <v>17</v>
      </c>
    </row>
    <row r="52" spans="1:11" ht="17.25" thickBot="1" x14ac:dyDescent="0.35">
      <c r="A52" s="35"/>
      <c r="B52" s="5"/>
      <c r="C52" s="38"/>
      <c r="D52" s="4" t="s">
        <v>1</v>
      </c>
      <c r="E52" s="3">
        <v>5</v>
      </c>
      <c r="F52" s="3">
        <v>5</v>
      </c>
      <c r="G52" s="3">
        <v>4</v>
      </c>
      <c r="H52" s="3">
        <v>5</v>
      </c>
      <c r="I52" s="2">
        <v>5</v>
      </c>
      <c r="J52" s="7">
        <f t="shared" si="0"/>
        <v>4.8</v>
      </c>
      <c r="K52" s="1" t="s">
        <v>16</v>
      </c>
    </row>
    <row r="53" spans="1:11" ht="16.5" customHeight="1" x14ac:dyDescent="0.3">
      <c r="A53" s="33">
        <v>18</v>
      </c>
      <c r="B53" s="15" t="s">
        <v>7</v>
      </c>
      <c r="C53" s="36" t="s">
        <v>15</v>
      </c>
      <c r="D53" s="14" t="s">
        <v>5</v>
      </c>
      <c r="E53" s="13">
        <v>5</v>
      </c>
      <c r="F53" s="13">
        <v>5</v>
      </c>
      <c r="G53" s="13">
        <v>5</v>
      </c>
      <c r="H53" s="13">
        <v>5</v>
      </c>
      <c r="I53" s="7">
        <v>5</v>
      </c>
      <c r="J53" s="23">
        <f t="shared" si="0"/>
        <v>5</v>
      </c>
      <c r="K53" s="12" t="s">
        <v>14</v>
      </c>
    </row>
    <row r="54" spans="1:11" ht="16.5" x14ac:dyDescent="0.3">
      <c r="A54" s="34"/>
      <c r="B54" s="11"/>
      <c r="C54" s="37"/>
      <c r="D54" s="10" t="s">
        <v>3</v>
      </c>
      <c r="E54" s="9">
        <v>5</v>
      </c>
      <c r="F54" s="9">
        <v>5</v>
      </c>
      <c r="G54" s="9">
        <v>5</v>
      </c>
      <c r="H54" s="9">
        <v>5</v>
      </c>
      <c r="I54" s="8">
        <v>5</v>
      </c>
      <c r="J54" s="19">
        <f t="shared" si="0"/>
        <v>5</v>
      </c>
      <c r="K54" s="6" t="s">
        <v>13</v>
      </c>
    </row>
    <row r="55" spans="1:11" ht="17.25" thickBot="1" x14ac:dyDescent="0.35">
      <c r="A55" s="35"/>
      <c r="B55" s="5"/>
      <c r="C55" s="38"/>
      <c r="D55" s="4" t="s">
        <v>1</v>
      </c>
      <c r="E55" s="3">
        <v>5</v>
      </c>
      <c r="F55" s="3">
        <v>5</v>
      </c>
      <c r="G55" s="3">
        <v>5</v>
      </c>
      <c r="H55" s="3">
        <v>5</v>
      </c>
      <c r="I55" s="2">
        <v>5</v>
      </c>
      <c r="J55" s="3">
        <f t="shared" si="0"/>
        <v>5</v>
      </c>
      <c r="K55" s="18" t="s">
        <v>12</v>
      </c>
    </row>
    <row r="56" spans="1:11" ht="16.5" customHeight="1" x14ac:dyDescent="0.3">
      <c r="A56" s="33">
        <v>19</v>
      </c>
      <c r="B56" s="15" t="s">
        <v>7</v>
      </c>
      <c r="C56" s="36" t="s">
        <v>11</v>
      </c>
      <c r="D56" s="14" t="s">
        <v>5</v>
      </c>
      <c r="E56" s="13">
        <v>5</v>
      </c>
      <c r="F56" s="13">
        <v>5</v>
      </c>
      <c r="G56" s="13">
        <v>5</v>
      </c>
      <c r="H56" s="13">
        <v>5</v>
      </c>
      <c r="I56" s="7">
        <v>5</v>
      </c>
      <c r="J56" s="20">
        <f t="shared" si="0"/>
        <v>5</v>
      </c>
      <c r="K56" s="16" t="s">
        <v>10</v>
      </c>
    </row>
    <row r="57" spans="1:11" ht="16.5" x14ac:dyDescent="0.3">
      <c r="A57" s="34"/>
      <c r="B57" s="11"/>
      <c r="C57" s="37"/>
      <c r="D57" s="10" t="s">
        <v>3</v>
      </c>
      <c r="E57" s="9">
        <v>5</v>
      </c>
      <c r="F57" s="9">
        <v>5</v>
      </c>
      <c r="G57" s="9">
        <v>5</v>
      </c>
      <c r="H57" s="9">
        <v>5</v>
      </c>
      <c r="I57" s="8">
        <v>5</v>
      </c>
      <c r="J57" s="32">
        <f t="shared" si="0"/>
        <v>5</v>
      </c>
      <c r="K57" s="6" t="s">
        <v>9</v>
      </c>
    </row>
    <row r="58" spans="1:11" ht="17.25" thickBot="1" x14ac:dyDescent="0.35">
      <c r="A58" s="35"/>
      <c r="B58" s="5"/>
      <c r="C58" s="38"/>
      <c r="D58" s="4" t="s">
        <v>1</v>
      </c>
      <c r="E58" s="3">
        <v>5</v>
      </c>
      <c r="F58" s="3">
        <v>5</v>
      </c>
      <c r="G58" s="3">
        <v>5</v>
      </c>
      <c r="H58" s="3">
        <v>5</v>
      </c>
      <c r="I58" s="2">
        <v>5</v>
      </c>
      <c r="J58" s="3">
        <f t="shared" si="0"/>
        <v>5</v>
      </c>
      <c r="K58" s="1" t="s">
        <v>8</v>
      </c>
    </row>
    <row r="59" spans="1:11" ht="16.5" customHeight="1" x14ac:dyDescent="0.3">
      <c r="A59" s="33">
        <v>20</v>
      </c>
      <c r="B59" s="15" t="s">
        <v>7</v>
      </c>
      <c r="C59" s="36" t="s">
        <v>6</v>
      </c>
      <c r="D59" s="14" t="s">
        <v>5</v>
      </c>
      <c r="E59" s="13">
        <v>5</v>
      </c>
      <c r="F59" s="13">
        <v>5</v>
      </c>
      <c r="G59" s="13">
        <v>5</v>
      </c>
      <c r="H59" s="13">
        <v>5</v>
      </c>
      <c r="I59" s="7">
        <v>5</v>
      </c>
      <c r="J59" s="23">
        <f t="shared" si="0"/>
        <v>5</v>
      </c>
      <c r="K59" s="12" t="s">
        <v>4</v>
      </c>
    </row>
    <row r="60" spans="1:11" ht="16.5" x14ac:dyDescent="0.3">
      <c r="A60" s="34"/>
      <c r="B60" s="11"/>
      <c r="C60" s="37"/>
      <c r="D60" s="10" t="s">
        <v>3</v>
      </c>
      <c r="E60" s="9">
        <v>5</v>
      </c>
      <c r="F60" s="9">
        <v>5</v>
      </c>
      <c r="G60" s="9">
        <v>5</v>
      </c>
      <c r="H60" s="9">
        <v>5</v>
      </c>
      <c r="I60" s="8">
        <v>5</v>
      </c>
      <c r="J60" s="19">
        <f t="shared" si="0"/>
        <v>5</v>
      </c>
      <c r="K60" s="6" t="s">
        <v>2</v>
      </c>
    </row>
    <row r="61" spans="1:11" ht="17.25" thickBot="1" x14ac:dyDescent="0.35">
      <c r="A61" s="35"/>
      <c r="B61" s="5"/>
      <c r="C61" s="38"/>
      <c r="D61" s="4" t="s">
        <v>1</v>
      </c>
      <c r="E61" s="3">
        <v>5</v>
      </c>
      <c r="F61" s="3">
        <v>5</v>
      </c>
      <c r="G61" s="3">
        <v>5</v>
      </c>
      <c r="H61" s="3">
        <v>5</v>
      </c>
      <c r="I61" s="2">
        <v>5</v>
      </c>
      <c r="J61" s="3">
        <f t="shared" si="0"/>
        <v>5</v>
      </c>
      <c r="K61" s="1" t="s">
        <v>0</v>
      </c>
    </row>
  </sheetData>
  <mergeCells count="40">
    <mergeCell ref="A14:A16"/>
    <mergeCell ref="C2:C4"/>
    <mergeCell ref="C5:C7"/>
    <mergeCell ref="C8:C10"/>
    <mergeCell ref="C11:C13"/>
    <mergeCell ref="C14:C16"/>
    <mergeCell ref="A11:A13"/>
    <mergeCell ref="A2:A4"/>
    <mergeCell ref="A5:A7"/>
    <mergeCell ref="A8:A10"/>
    <mergeCell ref="A17:A19"/>
    <mergeCell ref="C17:C19"/>
    <mergeCell ref="A20:A22"/>
    <mergeCell ref="C20:C22"/>
    <mergeCell ref="A23:A25"/>
    <mergeCell ref="C23:C25"/>
    <mergeCell ref="A26:A28"/>
    <mergeCell ref="C26:C28"/>
    <mergeCell ref="A29:A31"/>
    <mergeCell ref="C29:C31"/>
    <mergeCell ref="A32:A34"/>
    <mergeCell ref="C32:C34"/>
    <mergeCell ref="A35:A37"/>
    <mergeCell ref="C35:C37"/>
    <mergeCell ref="A38:A40"/>
    <mergeCell ref="C38:C40"/>
    <mergeCell ref="A41:A43"/>
    <mergeCell ref="C41:C43"/>
    <mergeCell ref="A44:A46"/>
    <mergeCell ref="C44:C46"/>
    <mergeCell ref="A47:A49"/>
    <mergeCell ref="C47:C49"/>
    <mergeCell ref="A50:A52"/>
    <mergeCell ref="C50:C52"/>
    <mergeCell ref="A53:A55"/>
    <mergeCell ref="C53:C55"/>
    <mergeCell ref="A56:A58"/>
    <mergeCell ref="C56:C58"/>
    <mergeCell ref="A59:A61"/>
    <mergeCell ref="C59:C61"/>
  </mergeCells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zoomScale="90" zoomScaleNormal="90" workbookViewId="0">
      <selection activeCell="J8" sqref="J8"/>
    </sheetView>
  </sheetViews>
  <sheetFormatPr defaultRowHeight="15" x14ac:dyDescent="0.25"/>
  <cols>
    <col min="1" max="7" width="15.7109375" customWidth="1"/>
  </cols>
  <sheetData>
    <row r="1" spans="1:7" ht="17.25" thickBot="1" x14ac:dyDescent="0.3">
      <c r="A1" s="39"/>
      <c r="B1" s="40" t="s">
        <v>98</v>
      </c>
      <c r="C1" s="41"/>
      <c r="D1" s="41"/>
      <c r="E1" s="41"/>
      <c r="F1" s="42"/>
      <c r="G1" s="39"/>
    </row>
    <row r="2" spans="1:7" ht="33.75" thickBot="1" x14ac:dyDescent="0.3">
      <c r="A2" s="43" t="s">
        <v>94</v>
      </c>
      <c r="B2" s="43" t="s">
        <v>92</v>
      </c>
      <c r="C2" s="43" t="s">
        <v>91</v>
      </c>
      <c r="D2" s="43" t="s">
        <v>90</v>
      </c>
      <c r="E2" s="43" t="s">
        <v>89</v>
      </c>
      <c r="F2" s="43" t="s">
        <v>88</v>
      </c>
      <c r="G2" s="43" t="s">
        <v>99</v>
      </c>
    </row>
    <row r="3" spans="1:7" ht="17.25" thickBot="1" x14ac:dyDescent="0.35">
      <c r="A3" s="44" t="s">
        <v>5</v>
      </c>
      <c r="B3" s="44">
        <f>AVERAGEIF(Evaluation!D2:D61, "ChatGPT", Evaluation!E2:E61)</f>
        <v>5</v>
      </c>
      <c r="C3" s="44">
        <f>AVERAGEIF(Evaluation!D2:D61, "ChatGPT", Evaluation!F2:F61)</f>
        <v>5</v>
      </c>
      <c r="D3" s="44">
        <f>AVERAGEIF(Evaluation!D2:D61, "ChatGPT", Evaluation!G2:G61)</f>
        <v>5</v>
      </c>
      <c r="E3" s="44">
        <f>AVERAGEIF(Evaluation!D2:D61, "ChatGPT", Evaluation!H2:H61)</f>
        <v>5</v>
      </c>
      <c r="F3" s="44">
        <f>AVERAGEIF(Evaluation!D2:D61, "ChatGPT", Evaluation!I2:I61)</f>
        <v>5</v>
      </c>
      <c r="G3" s="44">
        <f>AVERAGEIF(Evaluation!D2:D61, "ChatGPT", Evaluation!J2:J61)</f>
        <v>5</v>
      </c>
    </row>
    <row r="4" spans="1:7" ht="17.25" thickBot="1" x14ac:dyDescent="0.35">
      <c r="A4" s="44" t="s">
        <v>3</v>
      </c>
      <c r="B4" s="44">
        <f>AVERAGEIF(Evaluation!D2:D61, "Gemini", Evaluation!E2:E61)</f>
        <v>5</v>
      </c>
      <c r="C4" s="44">
        <f>AVERAGEIF(Evaluation!D2:D61, "Gemini", Evaluation!F2:F61)</f>
        <v>4.8499999999999996</v>
      </c>
      <c r="D4" s="44">
        <f>AVERAGEIF(Evaluation!D2:D61, "Gemini", Evaluation!G2:G61)</f>
        <v>5</v>
      </c>
      <c r="E4" s="44">
        <f>AVERAGEIF(Evaluation!D2:D61, "Gemini", Evaluation!H2:H61)</f>
        <v>5</v>
      </c>
      <c r="F4" s="44">
        <f>AVERAGEIF(Evaluation!D2:D61, "Gemini", Evaluation!I2:I61)</f>
        <v>5</v>
      </c>
      <c r="G4" s="44">
        <f>AVERAGEIF(Evaluation!D2:D61, "Gemini", Evaluation!J2:J61)</f>
        <v>4.97</v>
      </c>
    </row>
    <row r="5" spans="1:7" ht="17.25" thickBot="1" x14ac:dyDescent="0.35">
      <c r="A5" s="44" t="s">
        <v>1</v>
      </c>
      <c r="B5" s="44">
        <f>AVERAGEIF(Evaluation!D2:D61, "Copilot", Evaluation!E2:E61)</f>
        <v>5</v>
      </c>
      <c r="C5" s="44">
        <f>AVERAGEIF(Evaluation!D2:D61, "Copilot", Evaluation!F2:F61)</f>
        <v>4.95</v>
      </c>
      <c r="D5" s="44">
        <f>AVERAGEIF(Evaluation!D2:D61, "Copilot", Evaluation!G2:G61)</f>
        <v>4.6500000000000004</v>
      </c>
      <c r="E5" s="44">
        <f>AVERAGEIF(Evaluation!D2:D61, "Copilot", Evaluation!H2:H61)</f>
        <v>4.95</v>
      </c>
      <c r="F5" s="44">
        <f>AVERAGEIF(Evaluation!D2:D61, "Copilot", Evaluation!I2:I61)</f>
        <v>5</v>
      </c>
      <c r="G5" s="44">
        <f>AVERAGEIF(Evaluation!D2:D61, "Copilot", Evaluation!J2:J61)</f>
        <v>4.9099999999999993</v>
      </c>
    </row>
  </sheetData>
  <mergeCells count="1">
    <mergeCell ref="B1:F1"/>
  </mergeCells>
  <pageMargins left="0.7" right="0.7" top="0.75" bottom="0.75" header="0.3" footer="0.3"/>
  <pageSetup orientation="portrait" horizontalDpi="120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Ody Anggoro</dc:creator>
  <cp:lastModifiedBy>Ody Anggoro</cp:lastModifiedBy>
  <dcterms:created xsi:type="dcterms:W3CDTF">2026-07-01T02:44:33Z</dcterms:created>
  <dcterms:modified xsi:type="dcterms:W3CDTF">2026-07-01T18:07:57Z</dcterms:modified>
</cp:coreProperties>
</file>